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13_ncr:1_{041B386E-2CD3-44FC-A2E8-C39A3B0F015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conomic Summary" sheetId="1" r:id="rId1"/>
    <sheet name="Equipment Cost Breakdown" sheetId="2" r:id="rId2"/>
    <sheet name="Utilities Cost" sheetId="3" r:id="rId3"/>
    <sheet name="Stream Pri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3" l="1"/>
  <c r="F18" i="2"/>
  <c r="E18" i="2"/>
  <c r="D18" i="2"/>
  <c r="C18" i="2"/>
  <c r="B18" i="2"/>
</calcChain>
</file>

<file path=xl/sharedStrings.xml><?xml version="1.0" encoding="utf-8"?>
<sst xmlns="http://schemas.openxmlformats.org/spreadsheetml/2006/main" count="112" uniqueCount="98">
  <si>
    <t>NAPHTHA HYDRODESULFURIZATION (HDS) PROCESS
ECONOMIC ANALYSIS SUMMARY</t>
  </si>
  <si>
    <t>Source: Aspen Plus V14 – APEA Economic Analyzer</t>
  </si>
  <si>
    <t>A.  CAPITAL COST SUMMARY</t>
  </si>
  <si>
    <t>Parameter</t>
  </si>
  <si>
    <t>Value (USD)</t>
  </si>
  <si>
    <t>Notes</t>
  </si>
  <si>
    <t>Equipment Cost</t>
  </si>
  <si>
    <t>Bare module cost of all equipment</t>
  </si>
  <si>
    <t>Total Installed Cost</t>
  </si>
  <si>
    <t>Equipment + installation labor &amp; materials</t>
  </si>
  <si>
    <t>Total Capital Investment</t>
  </si>
  <si>
    <t>Includes indirect costs &amp; contingency</t>
  </si>
  <si>
    <t>B.  ANNUAL OPERATING COST SUMMARY  (USD/Year)</t>
  </si>
  <si>
    <t>Value (USD/Year)</t>
  </si>
  <si>
    <t>Total Raw Materials Cost</t>
  </si>
  <si>
    <t>NAPTHA + H2 + LEANAMIN feeds</t>
  </si>
  <si>
    <t>Total Utilities Cost</t>
  </si>
  <si>
    <t>Electricity + steam + cooling water</t>
  </si>
  <si>
    <t>Total Operating Cost</t>
  </si>
  <si>
    <t>All production costs combined</t>
  </si>
  <si>
    <t>C.  REVENUE &amp; PROFITABILITY</t>
  </si>
  <si>
    <t>Value</t>
  </si>
  <si>
    <t>Total Product Sales</t>
  </si>
  <si>
    <t>USD/Year — S14 + S23 + S12 product streams</t>
  </si>
  <si>
    <t>Gross Profit</t>
  </si>
  <si>
    <t>USD/Year — =Product Sales − Operating Cost</t>
  </si>
  <si>
    <t>Desired Rate of Return</t>
  </si>
  <si>
    <t>Fraction — 20% as set in APEA</t>
  </si>
  <si>
    <t>Payback Period</t>
  </si>
  <si>
    <t>Years — P.O. Period from APEA</t>
  </si>
  <si>
    <t>EQUIPMENT COST BREAKDOWN — HDS Process</t>
  </si>
  <si>
    <t>Equipment Name</t>
  </si>
  <si>
    <t>Equipment Cost (USD)</t>
  </si>
  <si>
    <t>Installed Cost (USD)</t>
  </si>
  <si>
    <t>Equip. Weight (LBS)</t>
  </si>
  <si>
    <t>Installed Weight (LBS)</t>
  </si>
  <si>
    <t>Utility Cost (USD/HR)</t>
  </si>
  <si>
    <t>ABSORBER</t>
  </si>
  <si>
    <t>PUMP</t>
  </si>
  <si>
    <t>HX3</t>
  </si>
  <si>
    <t>VALVE</t>
  </si>
  <si>
    <t>FLASH</t>
  </si>
  <si>
    <t>COMP1</t>
  </si>
  <si>
    <t>XH5</t>
  </si>
  <si>
    <t>REAC</t>
  </si>
  <si>
    <t>MIXER</t>
  </si>
  <si>
    <t>B10</t>
  </si>
  <si>
    <t>DIST</t>
  </si>
  <si>
    <t>COMP2</t>
  </si>
  <si>
    <t>HX2</t>
  </si>
  <si>
    <t>HX4</t>
  </si>
  <si>
    <t>HX1</t>
  </si>
  <si>
    <t>TOTAL</t>
  </si>
  <si>
    <t>UTILITIES COST SUMMARY — HDS Process</t>
  </si>
  <si>
    <t>Utility</t>
  </si>
  <si>
    <t>Fluid</t>
  </si>
  <si>
    <t>Rate</t>
  </si>
  <si>
    <t>Rate Units</t>
  </si>
  <si>
    <t>Cost per Hour (USD/H)</t>
  </si>
  <si>
    <t>Annual Cost (USD/Year)</t>
  </si>
  <si>
    <t>Electricity</t>
  </si>
  <si>
    <t>-</t>
  </si>
  <si>
    <t>KW</t>
  </si>
  <si>
    <t>Cooling Water</t>
  </si>
  <si>
    <t>Water</t>
  </si>
  <si>
    <t>MMGAL/H</t>
  </si>
  <si>
    <t>Steam @100PSI</t>
  </si>
  <si>
    <t>Steam</t>
  </si>
  <si>
    <t>KLB/H</t>
  </si>
  <si>
    <t>TOTAL ANNUAL UTILITY COST</t>
  </si>
  <si>
    <t>Note: Annual cost based on 8,000 operating hours/year</t>
  </si>
  <si>
    <t>FEED &amp; PRODUCT STREAM PRICES — HDS Process</t>
  </si>
  <si>
    <t>Stream ID</t>
  </si>
  <si>
    <t>Stream Type</t>
  </si>
  <si>
    <t>Price ($/kg)</t>
  </si>
  <si>
    <t>Unit</t>
  </si>
  <si>
    <t>Description</t>
  </si>
  <si>
    <t>H2</t>
  </si>
  <si>
    <t>Feed</t>
  </si>
  <si>
    <t>$/kg</t>
  </si>
  <si>
    <t>Hydrogen makeup feed to MIXER</t>
  </si>
  <si>
    <t>NAPTHA</t>
  </si>
  <si>
    <t>Naphtha feed to PUMP</t>
  </si>
  <si>
    <t>LEANAMIN</t>
  </si>
  <si>
    <t>Lean amine to ABSORBER</t>
  </si>
  <si>
    <t>S14</t>
  </si>
  <si>
    <t>Product</t>
  </si>
  <si>
    <t>Treated naphtha from HX4</t>
  </si>
  <si>
    <t>S23</t>
  </si>
  <si>
    <t>Liquid product from ABSORBER</t>
  </si>
  <si>
    <t>S12</t>
  </si>
  <si>
    <t>Distillate product from DIST</t>
  </si>
  <si>
    <t>PURGE</t>
  </si>
  <si>
    <t>Waste</t>
  </si>
  <si>
    <t>Purge gas from B10</t>
  </si>
  <si>
    <t>■  Feed streams (cost to purchase)</t>
  </si>
  <si>
    <t>■  Product streams (revenue)</t>
  </si>
  <si>
    <t>■  Waste streams (disposal 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</si>
</sst>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70C0"/>
      <name val="Arial"/>
      <family val="2"/>
    </font>
    <font>
      <sz val="10"/>
      <color rgb="FFC00000"/>
      <name val="Arial"/>
      <family val="2"/>
    </font>
    <font>
      <b/>
      <sz val="10"/>
      <color rgb="FF375623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70C0"/>
      <name val="Arial"/>
      <family val="2"/>
    </font>
    <font>
      <i/>
      <sz val="9"/>
      <color rgb="FF7F7F7F"/>
      <name val="Arial"/>
      <family val="2"/>
    </font>
    <font>
      <sz val="10"/>
      <color rgb="FF375623"/>
      <name val="Arial"/>
      <family val="2"/>
    </font>
    <font>
      <i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64" fontId="8" fillId="7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0" fontId="5" fillId="7" borderId="1" xfId="0" applyNumberFormat="1" applyFont="1" applyFill="1" applyBorder="1" applyAlignment="1">
      <alignment horizontal="center" vertical="center"/>
    </xf>
    <xf numFmtId="4" fontId="5" fillId="6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164" fontId="11" fillId="2" borderId="1" xfId="0" applyNumberFormat="1" applyFont="1" applyFill="1" applyBorder="1" applyAlignment="1">
      <alignment horizontal="center"/>
    </xf>
    <xf numFmtId="165" fontId="11" fillId="2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165" fontId="6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165" fontId="14" fillId="7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3" fillId="0" borderId="0" xfId="0" applyFont="1"/>
    <xf numFmtId="0" fontId="15" fillId="8" borderId="1" xfId="0" applyFont="1" applyFill="1" applyBorder="1"/>
    <xf numFmtId="0" fontId="15" fillId="9" borderId="1" xfId="0" applyFont="1" applyFill="1" applyBorder="1"/>
    <xf numFmtId="0" fontId="15" fillId="7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sqref="A1:C1"/>
    </sheetView>
  </sheetViews>
  <sheetFormatPr defaultRowHeight="14.4" x14ac:dyDescent="0.3"/>
  <cols>
    <col min="1" max="1" width="38" customWidth="1"/>
    <col min="2" max="2" width="22" customWidth="1"/>
    <col min="3" max="3" width="40.6640625" bestFit="1" customWidth="1"/>
  </cols>
  <sheetData>
    <row r="1" spans="1:3" ht="45" customHeight="1" x14ac:dyDescent="0.3">
      <c r="A1" s="45" t="s">
        <v>0</v>
      </c>
      <c r="B1" s="44"/>
      <c r="C1" s="44"/>
    </row>
    <row r="2" spans="1:3" x14ac:dyDescent="0.3">
      <c r="A2" s="46" t="s">
        <v>1</v>
      </c>
      <c r="B2" s="44"/>
      <c r="C2" s="44"/>
    </row>
    <row r="4" spans="1:3" x14ac:dyDescent="0.3">
      <c r="A4" s="43" t="s">
        <v>2</v>
      </c>
      <c r="B4" s="44"/>
      <c r="C4" s="44"/>
    </row>
    <row r="5" spans="1:3" x14ac:dyDescent="0.3">
      <c r="A5" s="1" t="s">
        <v>3</v>
      </c>
      <c r="B5" s="1" t="s">
        <v>4</v>
      </c>
      <c r="C5" s="1" t="s">
        <v>5</v>
      </c>
    </row>
    <row r="6" spans="1:3" x14ac:dyDescent="0.3">
      <c r="A6" s="2" t="s">
        <v>6</v>
      </c>
      <c r="B6" s="3">
        <v>3280300</v>
      </c>
      <c r="C6" s="2" t="s">
        <v>7</v>
      </c>
    </row>
    <row r="7" spans="1:3" x14ac:dyDescent="0.3">
      <c r="A7" s="4" t="s">
        <v>8</v>
      </c>
      <c r="B7" s="5">
        <v>5419800</v>
      </c>
      <c r="C7" s="4" t="s">
        <v>9</v>
      </c>
    </row>
    <row r="8" spans="1:3" x14ac:dyDescent="0.3">
      <c r="A8" s="6" t="s">
        <v>10</v>
      </c>
      <c r="B8" s="7">
        <v>7559710</v>
      </c>
      <c r="C8" s="2" t="s">
        <v>11</v>
      </c>
    </row>
    <row r="10" spans="1:3" x14ac:dyDescent="0.3">
      <c r="A10" s="43" t="s">
        <v>12</v>
      </c>
      <c r="B10" s="44"/>
      <c r="C10" s="44"/>
    </row>
    <row r="11" spans="1:3" x14ac:dyDescent="0.3">
      <c r="A11" s="1" t="s">
        <v>3</v>
      </c>
      <c r="B11" s="1" t="s">
        <v>13</v>
      </c>
      <c r="C11" s="1" t="s">
        <v>5</v>
      </c>
    </row>
    <row r="12" spans="1:3" x14ac:dyDescent="0.3">
      <c r="A12" s="2" t="s">
        <v>14</v>
      </c>
      <c r="B12" s="8">
        <v>32006800</v>
      </c>
      <c r="C12" s="2" t="s">
        <v>15</v>
      </c>
    </row>
    <row r="13" spans="1:3" x14ac:dyDescent="0.3">
      <c r="A13" s="4" t="s">
        <v>16</v>
      </c>
      <c r="B13" s="9">
        <v>166091</v>
      </c>
      <c r="C13" s="4" t="s">
        <v>17</v>
      </c>
    </row>
    <row r="14" spans="1:3" x14ac:dyDescent="0.3">
      <c r="A14" s="6" t="s">
        <v>18</v>
      </c>
      <c r="B14" s="7">
        <v>36944900</v>
      </c>
      <c r="C14" s="2" t="s">
        <v>19</v>
      </c>
    </row>
    <row r="16" spans="1:3" x14ac:dyDescent="0.3">
      <c r="A16" s="43" t="s">
        <v>20</v>
      </c>
      <c r="B16" s="44"/>
      <c r="C16" s="44"/>
    </row>
    <row r="17" spans="1:3" x14ac:dyDescent="0.3">
      <c r="A17" s="1" t="s">
        <v>3</v>
      </c>
      <c r="B17" s="1" t="s">
        <v>21</v>
      </c>
      <c r="C17" s="1" t="s">
        <v>5</v>
      </c>
    </row>
    <row r="18" spans="1:3" x14ac:dyDescent="0.3">
      <c r="A18" s="10" t="s">
        <v>22</v>
      </c>
      <c r="B18" s="11">
        <v>56768900</v>
      </c>
      <c r="C18" s="10" t="s">
        <v>23</v>
      </c>
    </row>
    <row r="19" spans="1:3" x14ac:dyDescent="0.3">
      <c r="A19" s="4" t="s">
        <v>24</v>
      </c>
      <c r="B19" s="12">
        <v>19824000</v>
      </c>
      <c r="C19" s="4" t="s">
        <v>25</v>
      </c>
    </row>
    <row r="20" spans="1:3" x14ac:dyDescent="0.3">
      <c r="A20" s="10" t="s">
        <v>26</v>
      </c>
      <c r="B20" s="13">
        <v>0.2</v>
      </c>
      <c r="C20" s="10" t="s">
        <v>27</v>
      </c>
    </row>
    <row r="21" spans="1:3" x14ac:dyDescent="0.3">
      <c r="A21" s="4" t="s">
        <v>28</v>
      </c>
      <c r="B21" s="14">
        <v>2.7254999999999998</v>
      </c>
      <c r="C21" s="4" t="s">
        <v>29</v>
      </c>
    </row>
  </sheetData>
  <mergeCells count="5">
    <mergeCell ref="A10:C10"/>
    <mergeCell ref="A1:C1"/>
    <mergeCell ref="A16:C16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defaultRowHeight="14.4" x14ac:dyDescent="0.3"/>
  <cols>
    <col min="1" max="1" width="26" customWidth="1"/>
    <col min="2" max="5" width="20" customWidth="1"/>
    <col min="6" max="6" width="22" customWidth="1"/>
  </cols>
  <sheetData>
    <row r="1" spans="1:6" ht="30" customHeight="1" x14ac:dyDescent="0.3">
      <c r="A1" s="47" t="s">
        <v>30</v>
      </c>
      <c r="B1" s="44"/>
      <c r="C1" s="44"/>
      <c r="D1" s="44"/>
      <c r="E1" s="44"/>
      <c r="F1" s="44"/>
    </row>
    <row r="2" spans="1:6" ht="26.4" x14ac:dyDescent="0.3">
      <c r="A2" s="15" t="s">
        <v>31</v>
      </c>
      <c r="B2" s="15" t="s">
        <v>32</v>
      </c>
      <c r="C2" s="15" t="s">
        <v>33</v>
      </c>
      <c r="D2" s="15" t="s">
        <v>34</v>
      </c>
      <c r="E2" s="15" t="s">
        <v>35</v>
      </c>
      <c r="F2" s="15" t="s">
        <v>36</v>
      </c>
    </row>
    <row r="3" spans="1:6" x14ac:dyDescent="0.3">
      <c r="A3" s="16" t="s">
        <v>37</v>
      </c>
      <c r="B3" s="17">
        <v>143900</v>
      </c>
      <c r="C3" s="17">
        <v>333000</v>
      </c>
      <c r="D3" s="18">
        <v>27200</v>
      </c>
      <c r="E3" s="18">
        <v>40125</v>
      </c>
      <c r="F3" s="19">
        <v>0</v>
      </c>
    </row>
    <row r="4" spans="1:6" x14ac:dyDescent="0.3">
      <c r="A4" s="6" t="s">
        <v>38</v>
      </c>
      <c r="B4" s="20">
        <v>75000</v>
      </c>
      <c r="C4" s="20">
        <v>117100</v>
      </c>
      <c r="D4" s="21">
        <v>3400</v>
      </c>
      <c r="E4" s="21">
        <v>6838</v>
      </c>
      <c r="F4" s="22">
        <v>1.4446000000000001</v>
      </c>
    </row>
    <row r="5" spans="1:6" x14ac:dyDescent="0.3">
      <c r="A5" s="16" t="s">
        <v>39</v>
      </c>
      <c r="B5" s="17">
        <v>17300</v>
      </c>
      <c r="C5" s="17">
        <v>153100</v>
      </c>
      <c r="D5" s="18">
        <v>1600</v>
      </c>
      <c r="E5" s="18">
        <v>9468</v>
      </c>
      <c r="F5" s="19">
        <v>2.1910799999999999</v>
      </c>
    </row>
    <row r="6" spans="1:6" x14ac:dyDescent="0.3">
      <c r="A6" s="6" t="s">
        <v>40</v>
      </c>
      <c r="B6" s="20">
        <v>0</v>
      </c>
      <c r="C6" s="20">
        <v>0</v>
      </c>
      <c r="D6" s="21">
        <v>0</v>
      </c>
      <c r="E6" s="21">
        <v>0</v>
      </c>
      <c r="F6" s="22">
        <v>0</v>
      </c>
    </row>
    <row r="7" spans="1:6" x14ac:dyDescent="0.3">
      <c r="A7" s="16" t="s">
        <v>41</v>
      </c>
      <c r="B7" s="17">
        <v>38800</v>
      </c>
      <c r="C7" s="17">
        <v>142900</v>
      </c>
      <c r="D7" s="18">
        <v>7600</v>
      </c>
      <c r="E7" s="18">
        <v>15544</v>
      </c>
      <c r="F7" s="19">
        <v>0</v>
      </c>
    </row>
    <row r="8" spans="1:6" x14ac:dyDescent="0.3">
      <c r="A8" s="6" t="s">
        <v>42</v>
      </c>
      <c r="B8" s="20">
        <v>990200</v>
      </c>
      <c r="C8" s="20">
        <v>1136600</v>
      </c>
      <c r="D8" s="21">
        <v>9700</v>
      </c>
      <c r="E8" s="21">
        <v>21375</v>
      </c>
      <c r="F8" s="22">
        <v>0.86722500000000002</v>
      </c>
    </row>
    <row r="9" spans="1:6" x14ac:dyDescent="0.3">
      <c r="A9" s="16" t="s">
        <v>43</v>
      </c>
      <c r="B9" s="17">
        <v>10500</v>
      </c>
      <c r="C9" s="17">
        <v>59200</v>
      </c>
      <c r="D9" s="18">
        <v>260</v>
      </c>
      <c r="E9" s="18">
        <v>3277</v>
      </c>
      <c r="F9" s="19">
        <v>6.7200000000000003E-3</v>
      </c>
    </row>
    <row r="10" spans="1:6" x14ac:dyDescent="0.3">
      <c r="A10" s="6" t="s">
        <v>44</v>
      </c>
      <c r="B10" s="20">
        <v>491500</v>
      </c>
      <c r="C10" s="20">
        <v>962900</v>
      </c>
      <c r="D10" s="21">
        <v>142100</v>
      </c>
      <c r="E10" s="21">
        <v>195333</v>
      </c>
      <c r="F10" s="22">
        <v>0</v>
      </c>
    </row>
    <row r="11" spans="1:6" x14ac:dyDescent="0.3">
      <c r="A11" s="16" t="s">
        <v>45</v>
      </c>
      <c r="B11" s="17">
        <v>0</v>
      </c>
      <c r="C11" s="17">
        <v>0</v>
      </c>
      <c r="D11" s="18">
        <v>0</v>
      </c>
      <c r="E11" s="18">
        <v>0</v>
      </c>
      <c r="F11" s="19">
        <v>0</v>
      </c>
    </row>
    <row r="12" spans="1:6" x14ac:dyDescent="0.3">
      <c r="A12" s="6" t="s">
        <v>46</v>
      </c>
      <c r="B12" s="20">
        <v>0</v>
      </c>
      <c r="C12" s="20">
        <v>0</v>
      </c>
      <c r="D12" s="21">
        <v>0</v>
      </c>
      <c r="E12" s="21">
        <v>0</v>
      </c>
      <c r="F12" s="22">
        <v>0</v>
      </c>
    </row>
    <row r="13" spans="1:6" x14ac:dyDescent="0.3">
      <c r="A13" s="16" t="s">
        <v>47</v>
      </c>
      <c r="B13" s="17">
        <v>241400</v>
      </c>
      <c r="C13" s="17">
        <v>788300</v>
      </c>
      <c r="D13" s="18">
        <v>36320</v>
      </c>
      <c r="E13" s="18">
        <v>82107</v>
      </c>
      <c r="F13" s="19">
        <v>8.9156099999999991</v>
      </c>
    </row>
    <row r="14" spans="1:6" x14ac:dyDescent="0.3">
      <c r="A14" s="6" t="s">
        <v>48</v>
      </c>
      <c r="B14" s="20">
        <v>1225500</v>
      </c>
      <c r="C14" s="20">
        <v>1368600</v>
      </c>
      <c r="D14" s="21">
        <v>12100</v>
      </c>
      <c r="E14" s="21">
        <v>22375</v>
      </c>
      <c r="F14" s="22">
        <v>1.1555299999999999</v>
      </c>
    </row>
    <row r="15" spans="1:6" x14ac:dyDescent="0.3">
      <c r="A15" s="16" t="s">
        <v>49</v>
      </c>
      <c r="B15" s="17">
        <v>16200</v>
      </c>
      <c r="C15" s="17">
        <v>171500</v>
      </c>
      <c r="D15" s="18">
        <v>1300</v>
      </c>
      <c r="E15" s="18">
        <v>12736</v>
      </c>
      <c r="F15" s="19">
        <v>0</v>
      </c>
    </row>
    <row r="16" spans="1:6" x14ac:dyDescent="0.3">
      <c r="A16" s="6" t="s">
        <v>50</v>
      </c>
      <c r="B16" s="20">
        <v>13300</v>
      </c>
      <c r="C16" s="20">
        <v>83300</v>
      </c>
      <c r="D16" s="21">
        <v>920</v>
      </c>
      <c r="E16" s="21">
        <v>6842</v>
      </c>
      <c r="F16" s="22">
        <v>0.2424</v>
      </c>
    </row>
    <row r="17" spans="1:6" x14ac:dyDescent="0.3">
      <c r="A17" s="16" t="s">
        <v>51</v>
      </c>
      <c r="B17" s="17">
        <v>16700</v>
      </c>
      <c r="C17" s="17">
        <v>103300</v>
      </c>
      <c r="D17" s="18">
        <v>1500</v>
      </c>
      <c r="E17" s="18">
        <v>12038</v>
      </c>
      <c r="F17" s="19">
        <v>0</v>
      </c>
    </row>
    <row r="18" spans="1:6" x14ac:dyDescent="0.3">
      <c r="A18" s="48" t="s">
        <v>52</v>
      </c>
      <c r="B18" s="24">
        <f>SUM(B3:B17)</f>
        <v>3280300</v>
      </c>
      <c r="C18" s="24">
        <f>SUM(C3:C17)</f>
        <v>5419800</v>
      </c>
      <c r="D18" s="24">
        <f>SUM(D3:D17)</f>
        <v>244000</v>
      </c>
      <c r="E18" s="24">
        <f>SUM(E3:E17)</f>
        <v>428058</v>
      </c>
      <c r="F18" s="25">
        <f>SUM(F3:F17)</f>
        <v>14.823164999999999</v>
      </c>
    </row>
  </sheetData>
  <mergeCells count="2">
    <mergeCell ref="A1:F1"/>
    <mergeCell ref="A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4.4" x14ac:dyDescent="0.3"/>
  <cols>
    <col min="1" max="1" width="22" customWidth="1"/>
    <col min="2" max="4" width="16" customWidth="1"/>
    <col min="5" max="6" width="18" customWidth="1"/>
  </cols>
  <sheetData>
    <row r="1" spans="1:6" ht="30" customHeight="1" x14ac:dyDescent="0.3">
      <c r="A1" s="47" t="s">
        <v>53</v>
      </c>
      <c r="B1" s="44"/>
      <c r="C1" s="44"/>
      <c r="D1" s="44"/>
      <c r="E1" s="44"/>
      <c r="F1" s="44"/>
    </row>
    <row r="2" spans="1:6" ht="26.4" x14ac:dyDescent="0.3">
      <c r="A2" s="15" t="s">
        <v>54</v>
      </c>
      <c r="B2" s="15" t="s">
        <v>55</v>
      </c>
      <c r="C2" s="15" t="s">
        <v>56</v>
      </c>
      <c r="D2" s="15" t="s">
        <v>57</v>
      </c>
      <c r="E2" s="15" t="s">
        <v>58</v>
      </c>
      <c r="F2" s="15" t="s">
        <v>59</v>
      </c>
    </row>
    <row r="3" spans="1:6" x14ac:dyDescent="0.3">
      <c r="A3" s="16" t="s">
        <v>60</v>
      </c>
      <c r="B3" s="26" t="s">
        <v>61</v>
      </c>
      <c r="C3" s="14">
        <v>98.322999999999993</v>
      </c>
      <c r="D3" s="26" t="s">
        <v>62</v>
      </c>
      <c r="E3" s="19">
        <v>7.6200299999999999</v>
      </c>
      <c r="F3" s="27">
        <v>60960.24</v>
      </c>
    </row>
    <row r="4" spans="1:6" x14ac:dyDescent="0.3">
      <c r="A4" s="6" t="s">
        <v>63</v>
      </c>
      <c r="B4" s="28" t="s">
        <v>64</v>
      </c>
      <c r="C4" s="29">
        <v>2.3057999999999999E-2</v>
      </c>
      <c r="D4" s="28" t="s">
        <v>65</v>
      </c>
      <c r="E4" s="22">
        <v>2.7669600000000001</v>
      </c>
      <c r="F4" s="30">
        <v>22135.68</v>
      </c>
    </row>
    <row r="5" spans="1:6" x14ac:dyDescent="0.3">
      <c r="A5" s="16" t="s">
        <v>66</v>
      </c>
      <c r="B5" s="26" t="s">
        <v>67</v>
      </c>
      <c r="C5" s="14">
        <v>1.05162</v>
      </c>
      <c r="D5" s="26" t="s">
        <v>68</v>
      </c>
      <c r="E5" s="19">
        <v>8.5601800000000008</v>
      </c>
      <c r="F5" s="27">
        <v>68481.440000000002</v>
      </c>
    </row>
    <row r="6" spans="1:6" x14ac:dyDescent="0.3">
      <c r="A6" s="23" t="s">
        <v>69</v>
      </c>
      <c r="B6" s="31"/>
      <c r="C6" s="31"/>
      <c r="D6" s="31"/>
      <c r="E6" s="31"/>
      <c r="F6" s="24">
        <f>SUM(F3:F5)</f>
        <v>151577.35999999999</v>
      </c>
    </row>
    <row r="8" spans="1:6" x14ac:dyDescent="0.3">
      <c r="A8" s="49" t="s">
        <v>70</v>
      </c>
      <c r="B8" s="44"/>
      <c r="C8" s="44"/>
      <c r="D8" s="44"/>
      <c r="E8" s="44"/>
      <c r="F8" s="44"/>
    </row>
  </sheetData>
  <mergeCells count="2">
    <mergeCell ref="A8:F8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tabSelected="1" workbookViewId="0">
      <selection sqref="A1:E1"/>
    </sheetView>
  </sheetViews>
  <sheetFormatPr defaultRowHeight="14.4" x14ac:dyDescent="0.3"/>
  <cols>
    <col min="1" max="1" width="16" customWidth="1"/>
    <col min="2" max="2" width="18" customWidth="1"/>
    <col min="3" max="4" width="16" customWidth="1"/>
    <col min="5" max="5" width="28.5546875" bestFit="1" customWidth="1"/>
  </cols>
  <sheetData>
    <row r="1" spans="1:5" ht="30" customHeight="1" x14ac:dyDescent="0.3">
      <c r="A1" s="47" t="s">
        <v>71</v>
      </c>
      <c r="B1" s="44"/>
      <c r="C1" s="44"/>
      <c r="D1" s="44"/>
      <c r="E1" s="44"/>
    </row>
    <row r="2" spans="1:5" x14ac:dyDescent="0.3">
      <c r="A2" s="15" t="s">
        <v>72</v>
      </c>
      <c r="B2" s="15" t="s">
        <v>73</v>
      </c>
      <c r="C2" s="15" t="s">
        <v>74</v>
      </c>
      <c r="D2" s="15" t="s">
        <v>75</v>
      </c>
      <c r="E2" s="15" t="s">
        <v>76</v>
      </c>
    </row>
    <row r="3" spans="1:5" x14ac:dyDescent="0.3">
      <c r="A3" s="32" t="s">
        <v>77</v>
      </c>
      <c r="B3" s="33" t="s">
        <v>78</v>
      </c>
      <c r="C3" s="34">
        <v>2</v>
      </c>
      <c r="D3" s="33" t="s">
        <v>79</v>
      </c>
      <c r="E3" s="35" t="s">
        <v>80</v>
      </c>
    </row>
    <row r="4" spans="1:5" x14ac:dyDescent="0.3">
      <c r="A4" s="32" t="s">
        <v>81</v>
      </c>
      <c r="B4" s="33" t="s">
        <v>78</v>
      </c>
      <c r="C4" s="34">
        <v>0.5</v>
      </c>
      <c r="D4" s="33" t="s">
        <v>79</v>
      </c>
      <c r="E4" s="35" t="s">
        <v>82</v>
      </c>
    </row>
    <row r="5" spans="1:5" x14ac:dyDescent="0.3">
      <c r="A5" s="32" t="s">
        <v>83</v>
      </c>
      <c r="B5" s="33" t="s">
        <v>78</v>
      </c>
      <c r="C5" s="34">
        <v>0.2</v>
      </c>
      <c r="D5" s="33" t="s">
        <v>79</v>
      </c>
      <c r="E5" s="35" t="s">
        <v>84</v>
      </c>
    </row>
    <row r="6" spans="1:5" x14ac:dyDescent="0.3">
      <c r="A6" s="36" t="s">
        <v>85</v>
      </c>
      <c r="B6" s="37" t="s">
        <v>86</v>
      </c>
      <c r="C6" s="38">
        <v>0.6</v>
      </c>
      <c r="D6" s="37" t="s">
        <v>79</v>
      </c>
      <c r="E6" s="10" t="s">
        <v>87</v>
      </c>
    </row>
    <row r="7" spans="1:5" x14ac:dyDescent="0.3">
      <c r="A7" s="36" t="s">
        <v>88</v>
      </c>
      <c r="B7" s="37" t="s">
        <v>86</v>
      </c>
      <c r="C7" s="38">
        <v>0.45</v>
      </c>
      <c r="D7" s="37" t="s">
        <v>79</v>
      </c>
      <c r="E7" s="10" t="s">
        <v>89</v>
      </c>
    </row>
    <row r="8" spans="1:5" x14ac:dyDescent="0.3">
      <c r="A8" s="36" t="s">
        <v>90</v>
      </c>
      <c r="B8" s="37" t="s">
        <v>86</v>
      </c>
      <c r="C8" s="38">
        <v>0.3</v>
      </c>
      <c r="D8" s="37" t="s">
        <v>79</v>
      </c>
      <c r="E8" s="10" t="s">
        <v>91</v>
      </c>
    </row>
    <row r="9" spans="1:5" x14ac:dyDescent="0.3">
      <c r="A9" s="39" t="s">
        <v>92</v>
      </c>
      <c r="B9" s="40" t="s">
        <v>93</v>
      </c>
      <c r="C9" s="41">
        <v>-0.05</v>
      </c>
      <c r="D9" s="40" t="s">
        <v>79</v>
      </c>
      <c r="E9" s="42" t="s">
        <v>94</v>
      </c>
    </row>
    <row r="11" spans="1:5" x14ac:dyDescent="0.3">
      <c r="A11" s="50" t="s">
        <v>95</v>
      </c>
      <c r="B11" s="44"/>
      <c r="C11" s="44"/>
      <c r="D11" s="44"/>
      <c r="E11" s="44"/>
    </row>
    <row r="12" spans="1:5" x14ac:dyDescent="0.3">
      <c r="A12" s="52" t="s">
        <v>96</v>
      </c>
      <c r="B12" s="44"/>
      <c r="C12" s="44"/>
      <c r="D12" s="44"/>
      <c r="E12" s="44"/>
    </row>
    <row r="13" spans="1:5" x14ac:dyDescent="0.3">
      <c r="A13" s="51" t="s">
        <v>97</v>
      </c>
      <c r="B13" s="44"/>
      <c r="C13" s="44"/>
      <c r="D13" s="44"/>
      <c r="E13" s="44"/>
    </row>
  </sheetData>
  <mergeCells count="4">
    <mergeCell ref="A11:E11"/>
    <mergeCell ref="A13:E13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Economic Summary</vt:lpstr>
      <vt:lpstr>Equipment Cost Breakdown</vt:lpstr>
      <vt:lpstr>Utilities Cost</vt:lpstr>
      <vt:lpstr>Stream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Soham Raut</cp:lastModifiedBy>
  <dcterms:created xsi:type="dcterms:W3CDTF">2026-04-20T08:46:37Z</dcterms:created>
  <dcterms:modified xsi:type="dcterms:W3CDTF">2026-04-20T09:40:58Z</dcterms:modified>
</cp:coreProperties>
</file>